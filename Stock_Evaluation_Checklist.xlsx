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Evaluation-Checklist\"/>
    </mc:Choice>
  </mc:AlternateContent>
  <xr:revisionPtr revIDLastSave="0" documentId="8_{1A6B1544-9BA1-46E6-91D8-27363B9B38D4}" xr6:coauthVersionLast="47" xr6:coauthVersionMax="47" xr10:uidLastSave="{00000000-0000-0000-0000-000000000000}"/>
  <bookViews>
    <workbookView xWindow="-110" yWindow="490" windowWidth="38620" windowHeight="20500" tabRatio="500" xr2:uid="{00000000-000D-0000-FFFF-FFFF00000000}"/>
  </bookViews>
  <sheets>
    <sheet name="Stock Evaluation" sheetId="1" r:id="rId1"/>
    <sheet name="Legend &amp; Instru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" l="1"/>
  <c r="E64" i="1" s="1"/>
  <c r="D63" i="1"/>
  <c r="E63" i="1" s="1"/>
  <c r="D62" i="1"/>
  <c r="E62" i="1" s="1"/>
  <c r="D61" i="1"/>
  <c r="E61" i="1" s="1"/>
  <c r="D60" i="1"/>
  <c r="E60" i="1" s="1"/>
  <c r="C49" i="1"/>
  <c r="D49" i="1" s="1"/>
  <c r="H41" i="1"/>
  <c r="D41" i="1"/>
  <c r="D39" i="1"/>
  <c r="H38" i="1"/>
  <c r="H37" i="1"/>
  <c r="D37" i="1"/>
  <c r="H36" i="1"/>
  <c r="D36" i="1"/>
  <c r="H32" i="1"/>
  <c r="D32" i="1"/>
  <c r="H31" i="1"/>
  <c r="D31" i="1"/>
  <c r="H30" i="1"/>
  <c r="D30" i="1"/>
  <c r="H29" i="1"/>
  <c r="D29" i="1"/>
  <c r="H28" i="1"/>
  <c r="D28" i="1"/>
  <c r="H27" i="1"/>
  <c r="D27" i="1"/>
  <c r="J23" i="1"/>
  <c r="H23" i="1"/>
  <c r="G23" i="1"/>
  <c r="F23" i="1"/>
  <c r="E23" i="1"/>
  <c r="D23" i="1"/>
  <c r="E19" i="1"/>
  <c r="E18" i="1"/>
  <c r="E17" i="1"/>
  <c r="E16" i="1"/>
  <c r="E15" i="1"/>
  <c r="E14" i="1"/>
  <c r="E13" i="1"/>
  <c r="E12" i="1"/>
  <c r="E11" i="1"/>
  <c r="E10" i="1"/>
  <c r="D64" i="1" l="1"/>
</calcChain>
</file>

<file path=xl/sharedStrings.xml><?xml version="1.0" encoding="utf-8"?>
<sst xmlns="http://schemas.openxmlformats.org/spreadsheetml/2006/main" count="194" uniqueCount="170">
  <si>
    <t>📊  STOCK INVESTMENT EVALUATION CHECKLIST</t>
  </si>
  <si>
    <t>Blue = input  |  Black = formula  |  🟡 = cell requires attention  |  Green = positive signal  |  Red = caution</t>
  </si>
  <si>
    <t xml:space="preserve">  ① BASIC IDENTIFICATION</t>
  </si>
  <si>
    <t>Ticker</t>
  </si>
  <si>
    <t>Company Name</t>
  </si>
  <si>
    <t>Sector</t>
  </si>
  <si>
    <t>Industry</t>
  </si>
  <si>
    <t>Country</t>
  </si>
  <si>
    <t>Exchange</t>
  </si>
  <si>
    <t>Eval. Date</t>
  </si>
  <si>
    <t>Price ($)</t>
  </si>
  <si>
    <t>Currency</t>
  </si>
  <si>
    <t>Notes / Source</t>
  </si>
  <si>
    <t>AAPL</t>
  </si>
  <si>
    <t>Apple Inc.</t>
  </si>
  <si>
    <t>Technology</t>
  </si>
  <si>
    <t>Consumer Electronics</t>
  </si>
  <si>
    <t>USA</t>
  </si>
  <si>
    <t>NASDAQ</t>
  </si>
  <si>
    <t>USD</t>
  </si>
  <si>
    <t xml:space="preserve">  ② VALUATION METRICS</t>
  </si>
  <si>
    <t>Metric</t>
  </si>
  <si>
    <t>Your Stock</t>
  </si>
  <si>
    <t>Industry Avg</t>
  </si>
  <si>
    <t>S&amp;P 500 Avg</t>
  </si>
  <si>
    <t>Signal</t>
  </si>
  <si>
    <t>Weight</t>
  </si>
  <si>
    <t>Weighted Score</t>
  </si>
  <si>
    <t>Benchmark Low</t>
  </si>
  <si>
    <t>Benchmark High</t>
  </si>
  <si>
    <t>Notes / Interpretation</t>
  </si>
  <si>
    <t>P/E Ratio (TTM)</t>
  </si>
  <si>
    <t>Forward P/E</t>
  </si>
  <si>
    <t>P/B Ratio</t>
  </si>
  <si>
    <t>PEG Ratio</t>
  </si>
  <si>
    <t>EV/EBITDA</t>
  </si>
  <si>
    <t>Price/Sales (P/S)</t>
  </si>
  <si>
    <t>Price/Free Cash Flow</t>
  </si>
  <si>
    <t>Book Value Per Share ($)</t>
  </si>
  <si>
    <t>Dividend Yield (%)</t>
  </si>
  <si>
    <t>Payout Ratio (%)</t>
  </si>
  <si>
    <t xml:space="preserve">  ③ 52-WEEK PRICE RANGE  (Visual Gauge)</t>
  </si>
  <si>
    <t>52-Wk Low ($)</t>
  </si>
  <si>
    <t>Current Price ($)</t>
  </si>
  <si>
    <t>52-Wk High ($)</t>
  </si>
  <si>
    <t>Position in Range</t>
  </si>
  <si>
    <t>▼◀━━━━━━━━━━━━━━━━━━━━━━━▶▲  Price Gauge</t>
  </si>
  <si>
    <t>Pct From 52W Low</t>
  </si>
  <si>
    <t>Pct From 52W High</t>
  </si>
  <si>
    <t>Avg (52W)</t>
  </si>
  <si>
    <t>MA-200 ($)</t>
  </si>
  <si>
    <t xml:space="preserve">  ④ FINANCIAL HEALTH &amp; QUALITY</t>
  </si>
  <si>
    <t>Value</t>
  </si>
  <si>
    <t>Good Range</t>
  </si>
  <si>
    <t>Notes</t>
  </si>
  <si>
    <t>Debt/Equity Ratio</t>
  </si>
  <si>
    <t>&lt;1.0</t>
  </si>
  <si>
    <t>Current Ratio</t>
  </si>
  <si>
    <t>&gt;1.5</t>
  </si>
  <si>
    <t>Quick Ratio</t>
  </si>
  <si>
    <t>&gt;1.0</t>
  </si>
  <si>
    <t>Interest Coverage</t>
  </si>
  <si>
    <t>&gt;5x</t>
  </si>
  <si>
    <t>Gross Margin (%)</t>
  </si>
  <si>
    <t>&gt;30%</t>
  </si>
  <si>
    <t>Net Profit Margin (%)</t>
  </si>
  <si>
    <t>&gt;10%</t>
  </si>
  <si>
    <t>ROE (%)</t>
  </si>
  <si>
    <t>&gt;15%</t>
  </si>
  <si>
    <t>ROA (%)</t>
  </si>
  <si>
    <t>&gt;5%</t>
  </si>
  <si>
    <t>ROIC (%)</t>
  </si>
  <si>
    <t>&gt;12%</t>
  </si>
  <si>
    <t>FCF Yield (%)</t>
  </si>
  <si>
    <t>&gt;4%</t>
  </si>
  <si>
    <t>Revenue Growth YoY (%)</t>
  </si>
  <si>
    <t>&gt;8%</t>
  </si>
  <si>
    <t>EPS Growth YoY (%)</t>
  </si>
  <si>
    <t xml:space="preserve">  ⑤ GROWTH &amp; ANALYST CONSENSUS</t>
  </si>
  <si>
    <t>Value / Target</t>
  </si>
  <si>
    <t># Analysts</t>
  </si>
  <si>
    <t>Unit</t>
  </si>
  <si>
    <t>Analyst Price Target ($)</t>
  </si>
  <si>
    <t>Short Interest (%)</t>
  </si>
  <si>
    <t>%</t>
  </si>
  <si>
    <t>Upside to Target (%)</t>
  </si>
  <si>
    <t>Beta</t>
  </si>
  <si>
    <t>Buy / Hold / Sell Ratings</t>
  </si>
  <si>
    <t>Insider Ownership (%)</t>
  </si>
  <si>
    <t>5-Yr EPS Growth Est. (%)</t>
  </si>
  <si>
    <t>Inst. Ownership (%)</t>
  </si>
  <si>
    <t>Next Qtr EPS Estimate ($)</t>
  </si>
  <si>
    <t>Shares Outstanding (M)</t>
  </si>
  <si>
    <t>M</t>
  </si>
  <si>
    <t>Earnings Surprise (last)</t>
  </si>
  <si>
    <t>Market Cap ($B)</t>
  </si>
  <si>
    <t>$B</t>
  </si>
  <si>
    <t xml:space="preserve">  ⑥ MOAT &amp; QUALITATIVE FACTORS  (Score 1–5 each)</t>
  </si>
  <si>
    <t>Factor</t>
  </si>
  <si>
    <t>Score (1–5)</t>
  </si>
  <si>
    <t>Commentary</t>
  </si>
  <si>
    <t>Brand / Pricing Power</t>
  </si>
  <si>
    <t>Ability to raise prices without losing customers</t>
  </si>
  <si>
    <t>Switching Costs</t>
  </si>
  <si>
    <t>How hard is it for customers to leave?</t>
  </si>
  <si>
    <t>Network Effects</t>
  </si>
  <si>
    <t>Does value grow with more users?</t>
  </si>
  <si>
    <t>Cost Advantage / Scale</t>
  </si>
  <si>
    <t>Lower costs than competitors?</t>
  </si>
  <si>
    <t>IP / Patents / Regulatory</t>
  </si>
  <si>
    <t>Proprietary advantage / barriers to entry</t>
  </si>
  <si>
    <t>Management Quality</t>
  </si>
  <si>
    <t>Track record, capital allocation, transparency</t>
  </si>
  <si>
    <t>ESG / Governance</t>
  </si>
  <si>
    <t>Environmental, Social, Governance risk</t>
  </si>
  <si>
    <t>Industry Tailwinds</t>
  </si>
  <si>
    <t>Is the industry growing?</t>
  </si>
  <si>
    <t>MOAT TOTAL SCORE (max 40)</t>
  </si>
  <si>
    <t xml:space="preserve">  ⑦ RISK FACTORS  (Check all that apply)</t>
  </si>
  <si>
    <t>Risk Factor</t>
  </si>
  <si>
    <t>Yes/No/Low/Med/High</t>
  </si>
  <si>
    <t>Impact</t>
  </si>
  <si>
    <t>Regulatory / Legal Risk</t>
  </si>
  <si>
    <t>Competition Risk</t>
  </si>
  <si>
    <t>Debt / Leverage Risk</t>
  </si>
  <si>
    <t>Currency / Macro Risk</t>
  </si>
  <si>
    <t>Key-Person Dependency</t>
  </si>
  <si>
    <t>Dilution / Buyback Trend</t>
  </si>
  <si>
    <t>Accounting / Fraud Risk</t>
  </si>
  <si>
    <t>Dividend Cut Risk</t>
  </si>
  <si>
    <t xml:space="preserve">  ⑧ OVERALL INVESTMENT VERDICT</t>
  </si>
  <si>
    <t>Category</t>
  </si>
  <si>
    <t>Max Points</t>
  </si>
  <si>
    <t>Your Score</t>
  </si>
  <si>
    <t>% of Max</t>
  </si>
  <si>
    <t>Rating</t>
  </si>
  <si>
    <t>Decision &amp; Notes</t>
  </si>
  <si>
    <t>Valuation</t>
  </si>
  <si>
    <t>Fin. Health</t>
  </si>
  <si>
    <t>Growth</t>
  </si>
  <si>
    <t>Moat</t>
  </si>
  <si>
    <t>TOTAL SCORE</t>
  </si>
  <si>
    <t>📝  Investment Thesis / Key Notes:</t>
  </si>
  <si>
    <t>HOW TO USE THIS CHECKLIST</t>
  </si>
  <si>
    <t>STEP 1 – Identify the stock</t>
  </si>
  <si>
    <t>Enter Ticker, Company Name, Price, and Date in Section ①</t>
  </si>
  <si>
    <t>STEP 2 – Valuation check</t>
  </si>
  <si>
    <t>Fill in P/E, Forward P/E, P/B, PEG, EV/EBITDA, P/S, P/FCF. Compare signals to industry avg.</t>
  </si>
  <si>
    <t>STEP 3 – 52-Week gauge</t>
  </si>
  <si>
    <t>Enter 52-Week Low, Current Price, High and MA-200. The gauge bar updates automatically.</t>
  </si>
  <si>
    <t>STEP 4 – Financial health</t>
  </si>
  <si>
    <t>Look up Debt/Equity, Current Ratio, Margins, ROE, ROA from Yahoo Finance, Morningstar, or SEC filings.</t>
  </si>
  <si>
    <t>STEP 5 – Analyst estimates</t>
  </si>
  <si>
    <t>Enter analyst price target, consensus ratings, and EPS growth estimate from TipRanks or Morningstar.</t>
  </si>
  <si>
    <t>STEP 6 – Moat scoring</t>
  </si>
  <si>
    <t>Rate each Moat factor 1–5. A score ≥30/40 suggests a durable competitive advantage.</t>
  </si>
  <si>
    <t>STEP 7 – Risk assessment</t>
  </si>
  <si>
    <t>Flag applicable risks as Low / Medium / High.</t>
  </si>
  <si>
    <t>STEP 8 – Score &amp; Verdict</t>
  </si>
  <si>
    <t>Enter section scores (Valuation, Health, Growth, Moat). Auto verdict calculates 🟢/🟡/⚠️/🔴.</t>
  </si>
  <si>
    <t>Blue cells</t>
  </si>
  <si>
    <t>Manual input cells — enter your data here</t>
  </si>
  <si>
    <t>Black cells</t>
  </si>
  <si>
    <t>Formulas — do not edit</t>
  </si>
  <si>
    <t>Yellow cells</t>
  </si>
  <si>
    <t>Require attention / judgment</t>
  </si>
  <si>
    <t>Data sources</t>
  </si>
  <si>
    <t>Yahoo Finance (price, P/E, 52W, short interest), Morningstar (moat, fair value), TipRanks (analyst targets), SEC EDGAR (financials)</t>
  </si>
  <si>
    <t>Disclaimer</t>
  </si>
  <si>
    <t>This checklist is for informational purposes only. Not financial advice. Always do your own due diligence.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</si>
</sst>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\$#,##0.00"/>
    <numFmt numFmtId="166" formatCode="0.0\x"/>
    <numFmt numFmtId="167" formatCode="0.0"/>
    <numFmt numFmtId="168" formatCode="0.00\x"/>
    <numFmt numFmtId="169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8"/>
      <color rgb="FF595959"/>
      <name val="Arial"/>
      <charset val="1"/>
    </font>
    <font>
      <b/>
      <sz val="9"/>
      <color rgb="FF1F3864"/>
      <name val="Courier New"/>
      <charset val="1"/>
    </font>
    <font>
      <i/>
      <sz val="8"/>
      <color rgb="FF595959"/>
      <name val="Arial"/>
      <charset val="1"/>
    </font>
    <font>
      <b/>
      <sz val="9"/>
      <color rgb="FFFFFFFF"/>
      <name val="Arial"/>
      <charset val="1"/>
    </font>
    <font>
      <b/>
      <sz val="11"/>
      <color rgb="FF1F3864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4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AF4FB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EAF4FB"/>
      </patternFill>
    </fill>
    <fill>
      <patternFill patternType="solid">
        <fgColor rgb="FFFFFFFF"/>
        <bgColor rgb="FFF2F2F2"/>
      </patternFill>
    </fill>
    <fill>
      <patternFill patternType="solid">
        <fgColor rgb="FFEAF4FB"/>
        <bgColor rgb="FFF2F2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9" fillId="2" borderId="0" xfId="0" applyFont="1" applyFill="1" applyAlignment="1">
      <alignment horizontal="center" vertical="center"/>
    </xf>
    <xf numFmtId="0" fontId="0" fillId="6" borderId="2" xfId="0" applyFill="1" applyBorder="1"/>
    <xf numFmtId="0" fontId="18" fillId="3" borderId="2" xfId="0" applyFont="1" applyFill="1" applyBorder="1"/>
    <xf numFmtId="0" fontId="17" fillId="4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indent="1"/>
    </xf>
    <xf numFmtId="0" fontId="10" fillId="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166" fontId="5" fillId="5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169" fontId="6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5" fillId="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indent="1"/>
    </xf>
    <xf numFmtId="1" fontId="11" fillId="6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9" fontId="6" fillId="6" borderId="1" xfId="0" applyNumberFormat="1" applyFont="1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9" fontId="16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4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abSelected="1" zoomScaleNormal="100" workbookViewId="0">
      <selection sqref="A1:J1"/>
    </sheetView>
  </sheetViews>
  <sheetFormatPr defaultColWidth="8.6328125" defaultRowHeight="14.5" x14ac:dyDescent="0.35"/>
  <cols>
    <col min="1" max="1" width="28" customWidth="1"/>
    <col min="2" max="2" width="18" customWidth="1"/>
    <col min="3" max="3" width="14" customWidth="1"/>
    <col min="4" max="4" width="18" customWidth="1"/>
    <col min="5" max="9" width="14" customWidth="1"/>
    <col min="10" max="10" width="28" customWidth="1"/>
  </cols>
  <sheetData>
    <row r="1" spans="1:10" ht="36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9.5" customHeight="1" x14ac:dyDescent="0.3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30" customHeight="1" x14ac:dyDescent="0.3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 spans="1:10" ht="18" customHeight="1" x14ac:dyDescent="0.35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5"/>
      <c r="H6" s="16"/>
      <c r="I6" s="14" t="s">
        <v>19</v>
      </c>
      <c r="J6" s="14"/>
    </row>
    <row r="8" spans="1:10" ht="19.5" customHeight="1" x14ac:dyDescent="0.35">
      <c r="A8" s="10" t="s">
        <v>20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30" customHeight="1" x14ac:dyDescent="0.35">
      <c r="A9" s="13" t="s">
        <v>21</v>
      </c>
      <c r="B9" s="13" t="s">
        <v>22</v>
      </c>
      <c r="C9" s="13" t="s">
        <v>23</v>
      </c>
      <c r="D9" s="13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</row>
    <row r="10" spans="1:10" ht="18" customHeight="1" x14ac:dyDescent="0.35">
      <c r="A10" s="17" t="s">
        <v>31</v>
      </c>
      <c r="B10" s="18"/>
      <c r="C10" s="19">
        <v>20</v>
      </c>
      <c r="D10" s="19">
        <v>22</v>
      </c>
      <c r="E10" s="20" t="str">
        <f>IF(B10="","-",IF(B10&lt;C10,"✅ Cheap",IF(B10&lt;D10,"⚠️ Fair","🔴 Expensive")))</f>
        <v>-</v>
      </c>
      <c r="F10" s="21">
        <v>20</v>
      </c>
      <c r="G10" s="22"/>
      <c r="H10" s="18">
        <v>10</v>
      </c>
      <c r="I10" s="18">
        <v>30</v>
      </c>
      <c r="J10" s="14"/>
    </row>
    <row r="11" spans="1:10" ht="18" customHeight="1" x14ac:dyDescent="0.35">
      <c r="A11" s="17" t="s">
        <v>32</v>
      </c>
      <c r="B11" s="18"/>
      <c r="C11" s="19">
        <v>18</v>
      </c>
      <c r="D11" s="19">
        <v>20</v>
      </c>
      <c r="E11" s="20" t="str">
        <f>IF(B11="","-",IF(B11&lt;C11,"✅ Cheap",IF(B11&lt;D11,"⚠️ Fair","🔴 Expensive")))</f>
        <v>-</v>
      </c>
      <c r="F11" s="21">
        <v>15</v>
      </c>
      <c r="G11" s="22"/>
      <c r="H11" s="18">
        <v>8</v>
      </c>
      <c r="I11" s="18">
        <v>25</v>
      </c>
      <c r="J11" s="14"/>
    </row>
    <row r="12" spans="1:10" ht="18" customHeight="1" x14ac:dyDescent="0.35">
      <c r="A12" s="17" t="s">
        <v>33</v>
      </c>
      <c r="B12" s="23"/>
      <c r="C12" s="19">
        <v>2</v>
      </c>
      <c r="D12" s="19">
        <v>3</v>
      </c>
      <c r="E12" s="20" t="str">
        <f>IF(B12="","-",IF(B12&lt;C12,"✅ Cheap",IF(B12&lt;1.5,"⚠️ Fair","🔴 Expensive")))</f>
        <v>-</v>
      </c>
      <c r="F12" s="21">
        <v>10</v>
      </c>
      <c r="G12" s="22"/>
      <c r="H12" s="23">
        <v>0.5</v>
      </c>
      <c r="I12" s="23">
        <v>4</v>
      </c>
      <c r="J12" s="14"/>
    </row>
    <row r="13" spans="1:10" ht="18" customHeight="1" x14ac:dyDescent="0.35">
      <c r="A13" s="17" t="s">
        <v>34</v>
      </c>
      <c r="B13" s="24"/>
      <c r="C13" s="19">
        <v>1</v>
      </c>
      <c r="D13" s="19">
        <v>1.5</v>
      </c>
      <c r="E13" s="20" t="str">
        <f>IF(B13="","-",IF(B13&lt;1,"✅ Good",IF(B13&lt;2,"⚠️ Fair","🔴 Expensive")))</f>
        <v>-</v>
      </c>
      <c r="F13" s="21">
        <v>15</v>
      </c>
      <c r="G13" s="22"/>
      <c r="H13" s="24">
        <v>0</v>
      </c>
      <c r="I13" s="24">
        <v>2</v>
      </c>
      <c r="J13" s="14"/>
    </row>
    <row r="14" spans="1:10" ht="18" customHeight="1" x14ac:dyDescent="0.35">
      <c r="A14" s="17" t="s">
        <v>35</v>
      </c>
      <c r="B14" s="18"/>
      <c r="C14" s="19">
        <v>12</v>
      </c>
      <c r="D14" s="19">
        <v>14</v>
      </c>
      <c r="E14" s="20" t="str">
        <f>IF(B14="","-",IF(B14&lt;C14,"✅ Cheap",IF(B14&lt;D14,"⚠️ Fair","🔴 Expensive")))</f>
        <v>-</v>
      </c>
      <c r="F14" s="21">
        <v>10</v>
      </c>
      <c r="G14" s="22"/>
      <c r="H14" s="18">
        <v>6</v>
      </c>
      <c r="I14" s="18">
        <v>20</v>
      </c>
      <c r="J14" s="14"/>
    </row>
    <row r="15" spans="1:10" ht="18" customHeight="1" x14ac:dyDescent="0.35">
      <c r="A15" s="17" t="s">
        <v>36</v>
      </c>
      <c r="B15" s="23"/>
      <c r="C15" s="19">
        <v>2</v>
      </c>
      <c r="D15" s="19">
        <v>3</v>
      </c>
      <c r="E15" s="20" t="str">
        <f>IF(B15="","-",IF(B15&lt;C15,"✅ Cheap",IF(B15&lt;D15,"⚠️ Fair","🔴 Expensive")))</f>
        <v>-</v>
      </c>
      <c r="F15" s="21">
        <v>5</v>
      </c>
      <c r="G15" s="22"/>
      <c r="H15" s="23">
        <v>0.5</v>
      </c>
      <c r="I15" s="23">
        <v>5</v>
      </c>
      <c r="J15" s="14"/>
    </row>
    <row r="16" spans="1:10" ht="18" customHeight="1" x14ac:dyDescent="0.35">
      <c r="A16" s="17" t="s">
        <v>37</v>
      </c>
      <c r="B16" s="18"/>
      <c r="C16" s="19">
        <v>18</v>
      </c>
      <c r="D16" s="19">
        <v>22</v>
      </c>
      <c r="E16" s="20" t="str">
        <f>IF(B16="","-",IF(B16&lt;C16,"✅ Good",IF(B16&lt;D16,"⚠️ Fair","🔴 High")))</f>
        <v>-</v>
      </c>
      <c r="F16" s="21">
        <v>10</v>
      </c>
      <c r="G16" s="22"/>
      <c r="H16" s="18">
        <v>10</v>
      </c>
      <c r="I16" s="18">
        <v>35</v>
      </c>
      <c r="J16" s="14"/>
    </row>
    <row r="17" spans="1:10" ht="18" customHeight="1" x14ac:dyDescent="0.35">
      <c r="A17" s="17" t="s">
        <v>38</v>
      </c>
      <c r="B17" s="16"/>
      <c r="C17" s="19"/>
      <c r="D17" s="19"/>
      <c r="E17" s="20" t="str">
        <f>IF(B17="","-","ℹ️ Reference")</f>
        <v>-</v>
      </c>
      <c r="F17" s="21">
        <v>5</v>
      </c>
      <c r="G17" s="22"/>
      <c r="H17" s="16">
        <v>0</v>
      </c>
      <c r="I17" s="16"/>
      <c r="J17" s="14"/>
    </row>
    <row r="18" spans="1:10" ht="18" customHeight="1" x14ac:dyDescent="0.35">
      <c r="A18" s="17" t="s">
        <v>39</v>
      </c>
      <c r="B18" s="25"/>
      <c r="C18" s="19">
        <v>2</v>
      </c>
      <c r="D18" s="19">
        <v>1.8</v>
      </c>
      <c r="E18" s="20" t="str">
        <f>IF(B18="","-",IF(B18&gt;C18,"✅ High",IF(B18&gt;0.5,"⚠️ Low","❌ None")))</f>
        <v>-</v>
      </c>
      <c r="F18" s="21">
        <v>5</v>
      </c>
      <c r="G18" s="22"/>
      <c r="H18" s="25">
        <v>0</v>
      </c>
      <c r="I18" s="25">
        <v>6</v>
      </c>
      <c r="J18" s="14"/>
    </row>
    <row r="19" spans="1:10" ht="18" customHeight="1" x14ac:dyDescent="0.35">
      <c r="A19" s="17" t="s">
        <v>40</v>
      </c>
      <c r="B19" s="26"/>
      <c r="C19" s="19">
        <v>40</v>
      </c>
      <c r="D19" s="19">
        <v>50</v>
      </c>
      <c r="E19" s="20" t="str">
        <f>IF(B19="","-",IF(B19&lt;C19,"✅ Safe",IF(B19&lt;75,"⚠️ Fair","🔴 High")))</f>
        <v>-</v>
      </c>
      <c r="F19" s="21">
        <v>5</v>
      </c>
      <c r="G19" s="22"/>
      <c r="H19" s="26">
        <v>0</v>
      </c>
      <c r="I19" s="26">
        <v>100</v>
      </c>
      <c r="J19" s="14"/>
    </row>
    <row r="21" spans="1:10" ht="19.5" customHeight="1" x14ac:dyDescent="0.35">
      <c r="A21" s="10" t="s">
        <v>41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30" customHeight="1" x14ac:dyDescent="0.35">
      <c r="A22" s="13" t="s">
        <v>42</v>
      </c>
      <c r="B22" s="13" t="s">
        <v>43</v>
      </c>
      <c r="C22" s="13" t="s">
        <v>44</v>
      </c>
      <c r="D22" s="13" t="s">
        <v>45</v>
      </c>
      <c r="E22" s="13" t="s">
        <v>46</v>
      </c>
      <c r="F22" s="13" t="s">
        <v>47</v>
      </c>
      <c r="G22" s="13" t="s">
        <v>48</v>
      </c>
      <c r="H22" s="13" t="s">
        <v>49</v>
      </c>
      <c r="I22" s="13" t="s">
        <v>50</v>
      </c>
      <c r="J22" s="13" t="s">
        <v>25</v>
      </c>
    </row>
    <row r="23" spans="1:10" ht="21.75" customHeight="1" x14ac:dyDescent="0.35">
      <c r="A23" s="16">
        <v>130</v>
      </c>
      <c r="B23" s="16">
        <v>175</v>
      </c>
      <c r="C23" s="16">
        <v>200</v>
      </c>
      <c r="D23" s="27">
        <f>IF(OR(A23="",B23="",C23=""),"-",(B23-A23)/(C23-A23))</f>
        <v>0.6428571428571429</v>
      </c>
      <c r="E23" s="28" t="str">
        <f>IF(OR(A23="",B23="",C23=""),"Enter Low/Price/High","Low:$"&amp;TEXT(A23,"#,##0")&amp;"  "&amp;REPT("━",ROUND(D23*20,0))&amp;"●"&amp;REPT("━",20-ROUND(D23*20,0))&amp;"  High:$"&amp;TEXT(C23,"#,##0"))</f>
        <v>Low:$130  ━━━━━━━━━━━━━●━━━━━━━  High:$200</v>
      </c>
      <c r="F23" s="27">
        <f>IF(OR(A23="",B23=""),"-",(B23-A23)/A23)</f>
        <v>0.34615384615384615</v>
      </c>
      <c r="G23" s="27">
        <f>IF(OR(B23="",C23=""),"-",(B23-C23)/C23)</f>
        <v>-0.125</v>
      </c>
      <c r="H23" s="29">
        <f>IF(OR(A23="",C23=""),"-",(A23+C23)/2)</f>
        <v>165</v>
      </c>
      <c r="I23" s="16">
        <v>170</v>
      </c>
      <c r="J23" s="20" t="str">
        <f>IF(OR(B23="",I23=""),"-",IF(B23&gt;I23,"✅ Above MA200","⚠️ Below MA200"))</f>
        <v>✅ Above MA200</v>
      </c>
    </row>
    <row r="25" spans="1:10" ht="19.5" customHeight="1" x14ac:dyDescent="0.35">
      <c r="A25" s="10" t="s">
        <v>51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30" customHeight="1" x14ac:dyDescent="0.35">
      <c r="A26" s="13" t="s">
        <v>21</v>
      </c>
      <c r="B26" s="13" t="s">
        <v>52</v>
      </c>
      <c r="C26" s="13" t="s">
        <v>53</v>
      </c>
      <c r="D26" s="13" t="s">
        <v>25</v>
      </c>
      <c r="E26" s="13" t="s">
        <v>21</v>
      </c>
      <c r="F26" s="13" t="s">
        <v>52</v>
      </c>
      <c r="G26" s="13" t="s">
        <v>53</v>
      </c>
      <c r="H26" s="13" t="s">
        <v>25</v>
      </c>
      <c r="I26" s="13"/>
      <c r="J26" s="13" t="s">
        <v>54</v>
      </c>
    </row>
    <row r="27" spans="1:10" ht="18" customHeight="1" x14ac:dyDescent="0.35">
      <c r="A27" s="17" t="s">
        <v>55</v>
      </c>
      <c r="B27" s="14"/>
      <c r="C27" s="30" t="s">
        <v>56</v>
      </c>
      <c r="D27" s="20" t="str">
        <f>IF(B27="","-",IF(B27&lt;1,"✅ Low",IF(B27&lt;2,"⚠️ Mod","🔴 High")))</f>
        <v>-</v>
      </c>
      <c r="E27" s="17" t="s">
        <v>57</v>
      </c>
      <c r="F27" s="14"/>
      <c r="G27" s="30" t="s">
        <v>58</v>
      </c>
      <c r="H27" s="20" t="str">
        <f>IF(F27="","-",IF(F27&gt;1.5,"✅ Good",IF(F27&gt;1,"⚠️ Ok","🔴 Low")))</f>
        <v>-</v>
      </c>
      <c r="I27" s="31"/>
      <c r="J27" s="14"/>
    </row>
    <row r="28" spans="1:10" ht="18" customHeight="1" x14ac:dyDescent="0.35">
      <c r="A28" s="17" t="s">
        <v>59</v>
      </c>
      <c r="B28" s="14"/>
      <c r="C28" s="30" t="s">
        <v>60</v>
      </c>
      <c r="D28" s="20" t="str">
        <f>IF(B28="","-",IF(B28&gt;1,"✅ Good",IF(B28&gt;0.7,"⚠️ Ok","🔴 Low")))</f>
        <v>-</v>
      </c>
      <c r="E28" s="17" t="s">
        <v>61</v>
      </c>
      <c r="F28" s="14"/>
      <c r="G28" s="30" t="s">
        <v>62</v>
      </c>
      <c r="H28" s="20" t="str">
        <f>IF(F28="","-",IF(F28&gt;5,"✅ Strong",IF(F28&gt;2,"⚠️ Ok","🔴 Weak")))</f>
        <v>-</v>
      </c>
      <c r="I28" s="31"/>
      <c r="J28" s="14"/>
    </row>
    <row r="29" spans="1:10" ht="18" customHeight="1" x14ac:dyDescent="0.35">
      <c r="A29" s="17" t="s">
        <v>63</v>
      </c>
      <c r="B29" s="14"/>
      <c r="C29" s="30" t="s">
        <v>64</v>
      </c>
      <c r="D29" s="20" t="str">
        <f>IF(B29="","-",IF(B29&gt;0.4,"✅ High",IF(B29&gt;0.2,"⚠️ Ok","🔴 Low")))</f>
        <v>-</v>
      </c>
      <c r="E29" s="17" t="s">
        <v>65</v>
      </c>
      <c r="F29" s="14"/>
      <c r="G29" s="30" t="s">
        <v>66</v>
      </c>
      <c r="H29" s="20" t="str">
        <f>IF(F29="","-",IF(F29&gt;0.1,"✅ Good",IF(F29&gt;0.05,"⚠️ Ok","🔴 Low")))</f>
        <v>-</v>
      </c>
      <c r="I29" s="31"/>
      <c r="J29" s="14"/>
    </row>
    <row r="30" spans="1:10" ht="18" customHeight="1" x14ac:dyDescent="0.35">
      <c r="A30" s="17" t="s">
        <v>67</v>
      </c>
      <c r="B30" s="14"/>
      <c r="C30" s="30" t="s">
        <v>68</v>
      </c>
      <c r="D30" s="20" t="str">
        <f>IF(B30="","-",IF(B30&gt;0.15,"✅ Strong",IF(B30&gt;0.08,"⚠️ Ok","🔴 Weak")))</f>
        <v>-</v>
      </c>
      <c r="E30" s="17" t="s">
        <v>69</v>
      </c>
      <c r="F30" s="14"/>
      <c r="G30" s="30" t="s">
        <v>70</v>
      </c>
      <c r="H30" s="20" t="str">
        <f>IF(F30="","-",IF(F30&gt;0.05,"✅ Good",IF(F30&gt;0.02,"⚠️ Ok","🔴 Weak")))</f>
        <v>-</v>
      </c>
      <c r="I30" s="31"/>
      <c r="J30" s="14"/>
    </row>
    <row r="31" spans="1:10" ht="18" customHeight="1" x14ac:dyDescent="0.35">
      <c r="A31" s="17" t="s">
        <v>71</v>
      </c>
      <c r="B31" s="14"/>
      <c r="C31" s="30" t="s">
        <v>72</v>
      </c>
      <c r="D31" s="20" t="str">
        <f>IF(B31="","-",IF(B31&gt;0.12,"✅ Strong",IF(B31&gt;0.08,"⚠️ Ok","🔴 Low")))</f>
        <v>-</v>
      </c>
      <c r="E31" s="17" t="s">
        <v>73</v>
      </c>
      <c r="F31" s="14"/>
      <c r="G31" s="30" t="s">
        <v>74</v>
      </c>
      <c r="H31" s="20" t="str">
        <f>IF(F31="","-",IF(F31&gt;0.04,"✅ Good",IF(F31&gt;0.01,"⚠️ Ok","🔴 Low")))</f>
        <v>-</v>
      </c>
      <c r="I31" s="31"/>
      <c r="J31" s="14"/>
    </row>
    <row r="32" spans="1:10" ht="18" customHeight="1" x14ac:dyDescent="0.35">
      <c r="A32" s="17" t="s">
        <v>75</v>
      </c>
      <c r="B32" s="14"/>
      <c r="C32" s="30" t="s">
        <v>76</v>
      </c>
      <c r="D32" s="20" t="str">
        <f>IF(B32="","-",IF(B32&gt;0.1,"✅ Fast",IF(B32&gt;0,"⚠️ Slow","🔴 Neg")))</f>
        <v>-</v>
      </c>
      <c r="E32" s="17" t="s">
        <v>77</v>
      </c>
      <c r="F32" s="14"/>
      <c r="G32" s="30" t="s">
        <v>66</v>
      </c>
      <c r="H32" s="20" t="str">
        <f>IF(F32="","-",IF(F32&gt;0.1,"✅ Fast",IF(F32&gt;0,"⚠️ Slow","🔴 Neg")))</f>
        <v>-</v>
      </c>
      <c r="I32" s="31"/>
      <c r="J32" s="14"/>
    </row>
    <row r="34" spans="1:10" ht="19.5" customHeight="1" x14ac:dyDescent="0.35">
      <c r="A34" s="10" t="s">
        <v>78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30" customHeight="1" x14ac:dyDescent="0.35">
      <c r="A35" s="13" t="s">
        <v>21</v>
      </c>
      <c r="B35" s="13" t="s">
        <v>79</v>
      </c>
      <c r="C35" s="13" t="s">
        <v>80</v>
      </c>
      <c r="D35" s="13" t="s">
        <v>25</v>
      </c>
      <c r="E35" s="13" t="s">
        <v>21</v>
      </c>
      <c r="F35" s="13" t="s">
        <v>52</v>
      </c>
      <c r="G35" s="13" t="s">
        <v>81</v>
      </c>
      <c r="H35" s="13" t="s">
        <v>25</v>
      </c>
      <c r="I35" s="13"/>
      <c r="J35" s="13" t="s">
        <v>54</v>
      </c>
    </row>
    <row r="36" spans="1:10" ht="18" customHeight="1" x14ac:dyDescent="0.35">
      <c r="A36" s="17" t="s">
        <v>82</v>
      </c>
      <c r="B36" s="14"/>
      <c r="C36" s="14"/>
      <c r="D36" s="20" t="str">
        <f>IF(B36="","-",IF(B36&gt;$B$6,"✅ Upside","🔴 Downside"))</f>
        <v>-</v>
      </c>
      <c r="E36" s="17" t="s">
        <v>83</v>
      </c>
      <c r="F36" s="14"/>
      <c r="G36" s="32" t="s">
        <v>84</v>
      </c>
      <c r="H36" s="20" t="str">
        <f>IF(F36="","-",IF(F36&lt;5,"✅ Low",IF(F36&lt;15,"⚠️ Mod","🔴 High")))</f>
        <v>-</v>
      </c>
      <c r="I36" s="31"/>
      <c r="J36" s="14"/>
    </row>
    <row r="37" spans="1:10" ht="18" customHeight="1" x14ac:dyDescent="0.35">
      <c r="A37" s="17" t="s">
        <v>85</v>
      </c>
      <c r="B37" s="14"/>
      <c r="C37" s="14"/>
      <c r="D37" s="20" t="str">
        <f>IF(OR(B37="",$B$6=""),"-",IF(B37&gt;0.1,"✅ Good",IF(B37&gt;0,"⚠️ Low","🔴 Neg")))</f>
        <v>-</v>
      </c>
      <c r="E37" s="17" t="s">
        <v>86</v>
      </c>
      <c r="F37" s="14"/>
      <c r="G37" s="32"/>
      <c r="H37" s="20" t="str">
        <f>IF(F37="","-",IF(F37&lt;1,"✅ Low Vol",IF(F37&lt;1.5,"⚠️ Mod","🔴 High Vol")))</f>
        <v>-</v>
      </c>
      <c r="I37" s="31"/>
      <c r="J37" s="14"/>
    </row>
    <row r="38" spans="1:10" ht="18" customHeight="1" x14ac:dyDescent="0.35">
      <c r="A38" s="17" t="s">
        <v>87</v>
      </c>
      <c r="B38" s="14"/>
      <c r="C38" s="14"/>
      <c r="D38" s="20"/>
      <c r="E38" s="17" t="s">
        <v>88</v>
      </c>
      <c r="F38" s="14"/>
      <c r="G38" s="32" t="s">
        <v>84</v>
      </c>
      <c r="H38" s="20" t="str">
        <f>IF(F38="","-",IF(F38&gt;10,"✅ High",IF(F38&gt;2,"⚠️ Ok","⚠️ Low")))</f>
        <v>-</v>
      </c>
      <c r="I38" s="31"/>
      <c r="J38" s="14"/>
    </row>
    <row r="39" spans="1:10" ht="18" customHeight="1" x14ac:dyDescent="0.35">
      <c r="A39" s="17" t="s">
        <v>89</v>
      </c>
      <c r="B39" s="14"/>
      <c r="C39" s="14"/>
      <c r="D39" s="20" t="str">
        <f>IF(B39="","-",IF(B39&gt;0.12,"✅ High",IF(B39&gt;0.05,"⚠️ Ok","🔴 Low")))</f>
        <v>-</v>
      </c>
      <c r="E39" s="17" t="s">
        <v>90</v>
      </c>
      <c r="F39" s="14"/>
      <c r="G39" s="32" t="s">
        <v>84</v>
      </c>
      <c r="H39" s="20"/>
      <c r="I39" s="31"/>
      <c r="J39" s="14"/>
    </row>
    <row r="40" spans="1:10" ht="18" customHeight="1" x14ac:dyDescent="0.35">
      <c r="A40" s="17" t="s">
        <v>91</v>
      </c>
      <c r="B40" s="14"/>
      <c r="C40" s="14"/>
      <c r="D40" s="20"/>
      <c r="E40" s="17" t="s">
        <v>92</v>
      </c>
      <c r="F40" s="14"/>
      <c r="G40" s="32" t="s">
        <v>93</v>
      </c>
      <c r="H40" s="20"/>
      <c r="I40" s="31"/>
      <c r="J40" s="14"/>
    </row>
    <row r="41" spans="1:10" ht="18" customHeight="1" x14ac:dyDescent="0.35">
      <c r="A41" s="17" t="s">
        <v>94</v>
      </c>
      <c r="B41" s="14"/>
      <c r="C41" s="14"/>
      <c r="D41" s="20" t="str">
        <f>IF(B41="","-",IF(B41&gt;0,"✅ Beat",IF(B41=0,"⚠️ Met","🔴 Miss")))</f>
        <v>-</v>
      </c>
      <c r="E41" s="17" t="s">
        <v>95</v>
      </c>
      <c r="F41" s="14"/>
      <c r="G41" s="32" t="s">
        <v>96</v>
      </c>
      <c r="H41" s="20" t="str">
        <f>IF(F41="","-",IF(F41&gt;10,"Large Cap",IF(F41&gt;2,"Mid Cap","Small Cap")))</f>
        <v>-</v>
      </c>
      <c r="I41" s="31"/>
      <c r="J41" s="14"/>
    </row>
    <row r="43" spans="1:10" ht="19.5" customHeight="1" x14ac:dyDescent="0.35">
      <c r="A43" s="10" t="s">
        <v>97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30" customHeight="1" x14ac:dyDescent="0.35">
      <c r="A44" s="13" t="s">
        <v>98</v>
      </c>
      <c r="B44" s="13" t="s">
        <v>99</v>
      </c>
      <c r="C44" s="13" t="s">
        <v>100</v>
      </c>
      <c r="D44" s="13" t="s">
        <v>98</v>
      </c>
      <c r="E44" s="13" t="s">
        <v>99</v>
      </c>
      <c r="F44" s="13" t="s">
        <v>100</v>
      </c>
      <c r="G44" s="13"/>
      <c r="H44" s="13"/>
      <c r="I44" s="13"/>
      <c r="J44" s="13"/>
    </row>
    <row r="45" spans="1:10" ht="18" customHeight="1" x14ac:dyDescent="0.35">
      <c r="A45" s="17" t="s">
        <v>101</v>
      </c>
      <c r="B45" s="33"/>
      <c r="C45" s="34" t="s">
        <v>102</v>
      </c>
      <c r="D45" s="17" t="s">
        <v>103</v>
      </c>
      <c r="E45" s="33"/>
      <c r="F45" s="34" t="s">
        <v>104</v>
      </c>
      <c r="G45" s="31"/>
      <c r="H45" s="31"/>
      <c r="I45" s="31"/>
      <c r="J45" s="31"/>
    </row>
    <row r="46" spans="1:10" ht="18" customHeight="1" x14ac:dyDescent="0.35">
      <c r="A46" s="17" t="s">
        <v>105</v>
      </c>
      <c r="B46" s="33"/>
      <c r="C46" s="34" t="s">
        <v>106</v>
      </c>
      <c r="D46" s="17" t="s">
        <v>107</v>
      </c>
      <c r="E46" s="33"/>
      <c r="F46" s="34" t="s">
        <v>108</v>
      </c>
      <c r="G46" s="31"/>
      <c r="H46" s="31"/>
      <c r="I46" s="31"/>
      <c r="J46" s="31"/>
    </row>
    <row r="47" spans="1:10" ht="18" customHeight="1" x14ac:dyDescent="0.35">
      <c r="A47" s="17" t="s">
        <v>109</v>
      </c>
      <c r="B47" s="33"/>
      <c r="C47" s="34" t="s">
        <v>110</v>
      </c>
      <c r="D47" s="17" t="s">
        <v>111</v>
      </c>
      <c r="E47" s="33"/>
      <c r="F47" s="34" t="s">
        <v>112</v>
      </c>
      <c r="G47" s="31"/>
      <c r="H47" s="31"/>
      <c r="I47" s="31"/>
      <c r="J47" s="31"/>
    </row>
    <row r="48" spans="1:10" ht="18" customHeight="1" x14ac:dyDescent="0.35">
      <c r="A48" s="17" t="s">
        <v>113</v>
      </c>
      <c r="B48" s="33"/>
      <c r="C48" s="34" t="s">
        <v>114</v>
      </c>
      <c r="D48" s="17" t="s">
        <v>115</v>
      </c>
      <c r="E48" s="33"/>
      <c r="F48" s="34" t="s">
        <v>116</v>
      </c>
      <c r="G48" s="31"/>
      <c r="H48" s="31"/>
      <c r="I48" s="31"/>
      <c r="J48" s="31"/>
    </row>
    <row r="49" spans="1:10" ht="21.75" customHeight="1" x14ac:dyDescent="0.35">
      <c r="A49" s="9" t="s">
        <v>117</v>
      </c>
      <c r="B49" s="9"/>
      <c r="C49" s="35">
        <f>IFERROR(SUM(B45:B48)+SUM(E45:E48),0)</f>
        <v>0</v>
      </c>
      <c r="D49" s="8" t="str">
        <f>IF(C49="","-",IF(C49&gt;=30,"✅ Strong Moat",IF(C49&gt;=20,"⚠️ Moderate Moat","🔴 Weak / No Moat")))</f>
        <v>🔴 Weak / No Moat</v>
      </c>
      <c r="E49" s="8"/>
      <c r="F49" s="8"/>
      <c r="G49" s="31"/>
      <c r="H49" s="31"/>
      <c r="I49" s="31"/>
      <c r="J49" s="31"/>
    </row>
    <row r="51" spans="1:10" ht="19.5" customHeight="1" x14ac:dyDescent="0.35">
      <c r="A51" s="10" t="s">
        <v>118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30" customHeight="1" x14ac:dyDescent="0.35">
      <c r="A52" s="13" t="s">
        <v>119</v>
      </c>
      <c r="B52" s="13" t="s">
        <v>120</v>
      </c>
      <c r="C52" s="13" t="s">
        <v>121</v>
      </c>
      <c r="D52" s="13" t="s">
        <v>54</v>
      </c>
      <c r="E52" s="13" t="s">
        <v>119</v>
      </c>
      <c r="F52" s="13" t="s">
        <v>120</v>
      </c>
      <c r="G52" s="13" t="s">
        <v>121</v>
      </c>
      <c r="H52" s="13" t="s">
        <v>54</v>
      </c>
      <c r="I52" s="13"/>
      <c r="J52" s="13"/>
    </row>
    <row r="53" spans="1:10" ht="18" customHeight="1" x14ac:dyDescent="0.35">
      <c r="A53" s="17" t="s">
        <v>122</v>
      </c>
      <c r="B53" s="14"/>
      <c r="C53" s="14"/>
      <c r="D53" s="14"/>
      <c r="E53" s="17" t="s">
        <v>123</v>
      </c>
      <c r="F53" s="14"/>
      <c r="G53" s="14"/>
      <c r="H53" s="14"/>
      <c r="I53" s="31"/>
      <c r="J53" s="31"/>
    </row>
    <row r="54" spans="1:10" ht="18" customHeight="1" x14ac:dyDescent="0.35">
      <c r="A54" s="17" t="s">
        <v>124</v>
      </c>
      <c r="B54" s="14"/>
      <c r="C54" s="14"/>
      <c r="D54" s="14"/>
      <c r="E54" s="17" t="s">
        <v>125</v>
      </c>
      <c r="F54" s="14"/>
      <c r="G54" s="14"/>
      <c r="H54" s="14"/>
      <c r="I54" s="31"/>
      <c r="J54" s="31"/>
    </row>
    <row r="55" spans="1:10" ht="18" customHeight="1" x14ac:dyDescent="0.35">
      <c r="A55" s="17" t="s">
        <v>126</v>
      </c>
      <c r="B55" s="14"/>
      <c r="C55" s="14"/>
      <c r="D55" s="14"/>
      <c r="E55" s="17" t="s">
        <v>127</v>
      </c>
      <c r="F55" s="14"/>
      <c r="G55" s="14"/>
      <c r="H55" s="14"/>
      <c r="I55" s="31"/>
      <c r="J55" s="31"/>
    </row>
    <row r="56" spans="1:10" ht="18" customHeight="1" x14ac:dyDescent="0.35">
      <c r="A56" s="17" t="s">
        <v>128</v>
      </c>
      <c r="B56" s="14"/>
      <c r="C56" s="14"/>
      <c r="D56" s="14"/>
      <c r="E56" s="17" t="s">
        <v>129</v>
      </c>
      <c r="F56" s="14"/>
      <c r="G56" s="14"/>
      <c r="H56" s="14"/>
      <c r="I56" s="31"/>
      <c r="J56" s="31"/>
    </row>
    <row r="58" spans="1:10" ht="19.5" customHeight="1" x14ac:dyDescent="0.35">
      <c r="A58" s="10" t="s">
        <v>130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36" t="s">
        <v>131</v>
      </c>
      <c r="B59" s="36" t="s">
        <v>132</v>
      </c>
      <c r="C59" s="36" t="s">
        <v>133</v>
      </c>
      <c r="D59" s="36" t="s">
        <v>134</v>
      </c>
      <c r="E59" s="36" t="s">
        <v>135</v>
      </c>
      <c r="F59" s="7" t="s">
        <v>136</v>
      </c>
      <c r="G59" s="7"/>
      <c r="H59" s="7"/>
      <c r="I59" s="7"/>
      <c r="J59" s="7"/>
    </row>
    <row r="60" spans="1:10" ht="18" customHeight="1" x14ac:dyDescent="0.35">
      <c r="A60" s="17" t="s">
        <v>137</v>
      </c>
      <c r="B60" s="37">
        <v>40</v>
      </c>
      <c r="C60" s="21"/>
      <c r="D60" s="38" t="str">
        <f>IF(C60="","-",C60/B60)</f>
        <v>-</v>
      </c>
      <c r="E60" s="20" t="str">
        <f>IF(D60="","-",IF(D60&gt;0.75,"✅ Strong",IF(D60&gt;0.5,"⚠️ OK","🔴 Weak")))</f>
        <v>✅ Strong</v>
      </c>
      <c r="F60" s="6"/>
      <c r="G60" s="6"/>
      <c r="H60" s="6"/>
      <c r="I60" s="6"/>
      <c r="J60" s="6"/>
    </row>
    <row r="61" spans="1:10" ht="18" customHeight="1" x14ac:dyDescent="0.35">
      <c r="A61" s="17" t="s">
        <v>138</v>
      </c>
      <c r="B61" s="37">
        <v>25</v>
      </c>
      <c r="C61" s="21"/>
      <c r="D61" s="38" t="str">
        <f>IF(C61="","-",C61/B61)</f>
        <v>-</v>
      </c>
      <c r="E61" s="20" t="str">
        <f>IF(D61="","-",IF(D61&gt;0.75,"✅ Strong",IF(D61&gt;0.5,"⚠️ OK","🔴 Weak")))</f>
        <v>✅ Strong</v>
      </c>
      <c r="F61" s="6"/>
      <c r="G61" s="6"/>
      <c r="H61" s="6"/>
      <c r="I61" s="6"/>
      <c r="J61" s="6"/>
    </row>
    <row r="62" spans="1:10" ht="18" customHeight="1" x14ac:dyDescent="0.35">
      <c r="A62" s="17" t="s">
        <v>139</v>
      </c>
      <c r="B62" s="37">
        <v>20</v>
      </c>
      <c r="C62" s="21"/>
      <c r="D62" s="38" t="str">
        <f>IF(C62="","-",C62/B62)</f>
        <v>-</v>
      </c>
      <c r="E62" s="20" t="str">
        <f>IF(D62="","-",IF(D62&gt;0.75,"✅ Strong",IF(D62&gt;0.5,"⚠️ OK","🔴 Weak")))</f>
        <v>✅ Strong</v>
      </c>
      <c r="F62" s="6"/>
      <c r="G62" s="6"/>
      <c r="H62" s="6"/>
      <c r="I62" s="6"/>
      <c r="J62" s="6"/>
    </row>
    <row r="63" spans="1:10" ht="18" customHeight="1" x14ac:dyDescent="0.35">
      <c r="A63" s="17" t="s">
        <v>140</v>
      </c>
      <c r="B63" s="37">
        <v>15</v>
      </c>
      <c r="C63" s="21"/>
      <c r="D63" s="38" t="str">
        <f>IF(C63="","-",C63/B63)</f>
        <v>-</v>
      </c>
      <c r="E63" s="20" t="str">
        <f>IF(D63="","-",IF(D63&gt;0.75,"✅ Strong",IF(D63&gt;0.5,"⚠️ OK","🔴 Weak")))</f>
        <v>✅ Strong</v>
      </c>
      <c r="F63" s="6"/>
      <c r="G63" s="6"/>
      <c r="H63" s="6"/>
      <c r="I63" s="6"/>
      <c r="J63" s="6"/>
    </row>
    <row r="64" spans="1:10" ht="25.5" customHeight="1" x14ac:dyDescent="0.35">
      <c r="A64" s="5" t="s">
        <v>141</v>
      </c>
      <c r="B64" s="5"/>
      <c r="C64" s="39">
        <f>SUM(C60:C63)</f>
        <v>0</v>
      </c>
      <c r="D64" s="40">
        <f>IF(C64="","-",C64/100)</f>
        <v>0</v>
      </c>
      <c r="E64" s="4" t="str">
        <f>IF(C64="","Enter scores above",IF(C64&gt;=80,"🟢 STRONG BUY — High conviction",IF(C64&gt;=65,"🟡 BUY — Favorable risk/reward",IF(C64&gt;=50,"⚠️ HOLD — Watch &amp; wait","🔴 AVOID — Does not meet criteria"))))</f>
        <v>🔴 AVOID — Does not meet criteria</v>
      </c>
      <c r="F64" s="4"/>
      <c r="G64" s="4"/>
      <c r="H64" s="4"/>
      <c r="I64" s="4"/>
      <c r="J64" s="4"/>
    </row>
    <row r="66" spans="1:10" x14ac:dyDescent="0.35">
      <c r="A66" s="3" t="s">
        <v>142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 ht="21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21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21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21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</sheetData>
  <mergeCells count="24">
    <mergeCell ref="A67:J67"/>
    <mergeCell ref="A68:J68"/>
    <mergeCell ref="A69:J69"/>
    <mergeCell ref="A70:J70"/>
    <mergeCell ref="F62:J62"/>
    <mergeCell ref="F63:J63"/>
    <mergeCell ref="A64:B64"/>
    <mergeCell ref="E64:J64"/>
    <mergeCell ref="A66:J66"/>
    <mergeCell ref="A51:J51"/>
    <mergeCell ref="A58:J58"/>
    <mergeCell ref="F59:J59"/>
    <mergeCell ref="F60:J60"/>
    <mergeCell ref="F61:J61"/>
    <mergeCell ref="A25:J25"/>
    <mergeCell ref="A34:J34"/>
    <mergeCell ref="A43:J43"/>
    <mergeCell ref="A49:B49"/>
    <mergeCell ref="D49:F49"/>
    <mergeCell ref="A1:J1"/>
    <mergeCell ref="A2:J2"/>
    <mergeCell ref="A4:J4"/>
    <mergeCell ref="A8:J8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zoomScaleNormal="100" workbookViewId="0"/>
  </sheetViews>
  <sheetFormatPr defaultColWidth="8.6328125" defaultRowHeight="14.5" x14ac:dyDescent="0.35"/>
  <cols>
    <col min="1" max="1" width="30" customWidth="1"/>
    <col min="2" max="2" width="60" customWidth="1"/>
  </cols>
  <sheetData>
    <row r="1" spans="1:2" ht="30" customHeight="1" x14ac:dyDescent="0.35">
      <c r="A1" s="1" t="s">
        <v>143</v>
      </c>
      <c r="B1" s="1"/>
    </row>
    <row r="2" spans="1:2" ht="36" customHeight="1" x14ac:dyDescent="0.35">
      <c r="A2" s="41" t="s">
        <v>144</v>
      </c>
      <c r="B2" s="42" t="s">
        <v>145</v>
      </c>
    </row>
    <row r="3" spans="1:2" ht="36" customHeight="1" x14ac:dyDescent="0.35">
      <c r="A3" s="43" t="s">
        <v>146</v>
      </c>
      <c r="B3" s="44" t="s">
        <v>147</v>
      </c>
    </row>
    <row r="4" spans="1:2" ht="36" customHeight="1" x14ac:dyDescent="0.35">
      <c r="A4" s="41" t="s">
        <v>148</v>
      </c>
      <c r="B4" s="42" t="s">
        <v>149</v>
      </c>
    </row>
    <row r="5" spans="1:2" ht="36" customHeight="1" x14ac:dyDescent="0.35">
      <c r="A5" s="43" t="s">
        <v>150</v>
      </c>
      <c r="B5" s="44" t="s">
        <v>151</v>
      </c>
    </row>
    <row r="6" spans="1:2" ht="36" customHeight="1" x14ac:dyDescent="0.35">
      <c r="A6" s="41" t="s">
        <v>152</v>
      </c>
      <c r="B6" s="42" t="s">
        <v>153</v>
      </c>
    </row>
    <row r="7" spans="1:2" ht="36" customHeight="1" x14ac:dyDescent="0.35">
      <c r="A7" s="43" t="s">
        <v>154</v>
      </c>
      <c r="B7" s="44" t="s">
        <v>155</v>
      </c>
    </row>
    <row r="8" spans="1:2" ht="36" customHeight="1" x14ac:dyDescent="0.35">
      <c r="A8" s="41" t="s">
        <v>156</v>
      </c>
      <c r="B8" s="42" t="s">
        <v>157</v>
      </c>
    </row>
    <row r="9" spans="1:2" ht="36" customHeight="1" x14ac:dyDescent="0.35">
      <c r="A9" s="43" t="s">
        <v>158</v>
      </c>
      <c r="B9" s="44" t="s">
        <v>159</v>
      </c>
    </row>
    <row r="10" spans="1:2" ht="36" customHeight="1" x14ac:dyDescent="0.35">
      <c r="A10" s="41" t="s">
        <v>160</v>
      </c>
      <c r="B10" s="42" t="s">
        <v>161</v>
      </c>
    </row>
    <row r="11" spans="1:2" ht="36" customHeight="1" x14ac:dyDescent="0.35">
      <c r="A11" s="43" t="s">
        <v>162</v>
      </c>
      <c r="B11" s="44" t="s">
        <v>163</v>
      </c>
    </row>
    <row r="12" spans="1:2" ht="36" customHeight="1" x14ac:dyDescent="0.35">
      <c r="A12" s="41" t="s">
        <v>164</v>
      </c>
      <c r="B12" s="42" t="s">
        <v>165</v>
      </c>
    </row>
    <row r="13" spans="1:2" ht="36" customHeight="1" x14ac:dyDescent="0.35">
      <c r="A13" s="43" t="s">
        <v>166</v>
      </c>
      <c r="B13" s="44" t="s">
        <v>167</v>
      </c>
    </row>
    <row r="14" spans="1:2" ht="36" customHeight="1" x14ac:dyDescent="0.35">
      <c r="A14" s="41" t="s">
        <v>168</v>
      </c>
      <c r="B14" s="42" t="s">
        <v>169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Evaluation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Mohan Puri</cp:lastModifiedBy>
  <cp:revision>0</cp:revision>
  <dcterms:created xsi:type="dcterms:W3CDTF">2026-06-07T20:53:46Z</dcterms:created>
  <dcterms:modified xsi:type="dcterms:W3CDTF">2026-06-07T21:05:27Z</dcterms:modified>
  <dc:language>en-US</dc:language>
</cp:coreProperties>
</file>